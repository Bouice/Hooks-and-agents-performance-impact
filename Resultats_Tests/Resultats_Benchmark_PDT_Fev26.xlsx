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www.portail-osmose.ca-titres.fr/docs/jeminf/IIRDPDT/Masterisation/Benchmark/"/>
    </mc:Choice>
  </mc:AlternateContent>
  <xr:revisionPtr revIDLastSave="0" documentId="13_ncr:1_{BA07E724-0F16-4DF0-9955-3674D3664868}" xr6:coauthVersionLast="47" xr6:coauthVersionMax="47" xr10:uidLastSave="{00000000-0000-0000-0000-000000000000}"/>
  <bookViews>
    <workbookView xWindow="-9480" yWindow="-21710" windowWidth="38620" windowHeight="21820" xr2:uid="{28A2D23E-B900-4D1E-B32F-7FA5AF5773BA}"/>
  </bookViews>
  <sheets>
    <sheet name="Benchmark_PDT_PTA_v1.ps1" sheetId="2" r:id="rId1"/>
  </sheets>
  <definedNames>
    <definedName name="DonnéesExternes_1" localSheetId="0" hidden="1">Benchmark_PDT_PTA_v1.ps1!$A$2:$P$32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2" l="1"/>
  <c r="Q23" i="2"/>
  <c r="Q24" i="2"/>
  <c r="Q28" i="2"/>
  <c r="Q30" i="2"/>
  <c r="Q25" i="2"/>
  <c r="Q21" i="2"/>
  <c r="Q18" i="2"/>
  <c r="Q27" i="2"/>
  <c r="Q22" i="2"/>
  <c r="Q31" i="2"/>
  <c r="Q7" i="2"/>
  <c r="Q4" i="2"/>
  <c r="Q5" i="2"/>
  <c r="Q3" i="2"/>
  <c r="Q26" i="2"/>
  <c r="Q9" i="2"/>
  <c r="Q12" i="2"/>
  <c r="Q17" i="2"/>
  <c r="Q29" i="2"/>
  <c r="Q32" i="2"/>
  <c r="Q11" i="2"/>
  <c r="Q13" i="2"/>
  <c r="Q16" i="2"/>
  <c r="Q15" i="2"/>
  <c r="Q19" i="2"/>
  <c r="Q10" i="2"/>
  <c r="Q8" i="2"/>
  <c r="Q6" i="2"/>
  <c r="Q1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Requête - RAW_LP_DEV_VM_1447" description="Connexion à la requête « RAW_LP_DEV_VM_1447 » dans le classeur." type="5" refreshedVersion="8" background="1" saveData="1">
    <dbPr connection="Provider=Microsoft.Mashup.OleDb.1;Data Source=$Workbook$;Location=RAW_LP_DEV_VM_1447;Extended Properties=&quot;&quot;" command="SELECT * FROM [RAW_LP_DEV_VM_1447]"/>
  </connection>
</connections>
</file>

<file path=xl/sharedStrings.xml><?xml version="1.0" encoding="utf-8"?>
<sst xmlns="http://schemas.openxmlformats.org/spreadsheetml/2006/main" count="290" uniqueCount="78">
  <si>
    <t>Script de référence : Benchmark_PDT_PTA_v1.ps1</t>
  </si>
  <si>
    <t>TIMESTAMP</t>
  </si>
  <si>
    <t>HOSTNAME</t>
  </si>
  <si>
    <t>CPU</t>
  </si>
  <si>
    <t>S1</t>
  </si>
  <si>
    <t>UWM</t>
  </si>
  <si>
    <t>AppControl</t>
  </si>
  <si>
    <t>FD</t>
  </si>
  <si>
    <t>DLP</t>
  </si>
  <si>
    <t>Launch_Notepad</t>
  </si>
  <si>
    <t>Launch_Edge</t>
  </si>
  <si>
    <t>Launch_Firefox</t>
  </si>
  <si>
    <t>Launch_Chrome</t>
  </si>
  <si>
    <t>Stress_Registre</t>
  </si>
  <si>
    <t>Ecriture_10k_Random</t>
  </si>
  <si>
    <t>Compression_ZIP</t>
  </si>
  <si>
    <t>Stress_SHA512_Intense</t>
  </si>
  <si>
    <t>Remarque</t>
  </si>
  <si>
    <t>2026-02-05 1447</t>
  </si>
  <si>
    <t>LP_DEV_VM</t>
  </si>
  <si>
    <t xml:space="preserve">AMD Ryzen 7 5800X 8-Core Processor             </t>
  </si>
  <si>
    <t>OFF</t>
  </si>
  <si>
    <t>VM Win 11 25H2 avec 16 Cœurs et 25 Go de RAM (Test référence)</t>
  </si>
  <si>
    <t>2026-02-05 1534</t>
  </si>
  <si>
    <t>L1012</t>
  </si>
  <si>
    <t>Intel(R) Core(TM) Ultra 5 235U</t>
  </si>
  <si>
    <t>ON</t>
  </si>
  <si>
    <t>Poste L1012 - Win 11 23H2 (1.3.5)</t>
  </si>
  <si>
    <t>2026-02-05 1556</t>
  </si>
  <si>
    <t>2026-02-05 1543</t>
  </si>
  <si>
    <t>L2074</t>
  </si>
  <si>
    <t>Intel(R) Core(TM) Ultra 5 135U</t>
  </si>
  <si>
    <t>Poste Dell 5550, 23H3, teams ouvert (en comm), taskmgr fermé</t>
  </si>
  <si>
    <t>2026-02-05 1610</t>
  </si>
  <si>
    <t>Poste Dell 5550, 23H3, teams ouvert (en comm), taskmgr ouvert</t>
  </si>
  <si>
    <t>2026-02-05 1705</t>
  </si>
  <si>
    <t>Poste L1012 - Win 11 23H2 (1.3.5) - DLP Désactivé via l'agent (Pas le service)</t>
  </si>
  <si>
    <t>2026-02-05 1727</t>
  </si>
  <si>
    <t>2026-02-05 1738</t>
  </si>
  <si>
    <t>2026-02-05 1749</t>
  </si>
  <si>
    <t>Poste L1012 - Win 11 23H2 (1.3.5) - DLP Activé via l'agent</t>
  </si>
  <si>
    <t>2026-02-05 1759</t>
  </si>
  <si>
    <t>2026-02-05 1850</t>
  </si>
  <si>
    <t>L3145</t>
  </si>
  <si>
    <t>Intel(R) Core(TM) Ultra 7 265H</t>
  </si>
  <si>
    <t>Poste L3145 - Win 11 25H2 (1.3.5) - Pas de DLP S1 22.x , taskmgr fermé</t>
  </si>
  <si>
    <t>2026-02-05 1913</t>
  </si>
  <si>
    <t>Poste L3145 - Win 11 25H2 (1.3.5) - Pas de DLP S1 22.x , taskmgr Ouvert</t>
  </si>
  <si>
    <t>2026-02-06 0925</t>
  </si>
  <si>
    <t>L3672</t>
  </si>
  <si>
    <t>Poste DELL Pro 16 Max - Win 11 23H2 - Pas de DLP</t>
  </si>
  <si>
    <t>2026-02-06 0959</t>
  </si>
  <si>
    <t>L9133</t>
  </si>
  <si>
    <t>13th Gen Intel(R) Core(TM) i7-1365U</t>
  </si>
  <si>
    <t>Poste DELL 9440 - Win 11 23H2 - Pas de DLP</t>
  </si>
  <si>
    <t>2026-02-06 1139</t>
  </si>
  <si>
    <t>2026-02-06 1130</t>
  </si>
  <si>
    <t>2026-02-06 1147</t>
  </si>
  <si>
    <t>2026-02-06 1140</t>
  </si>
  <si>
    <t>2026-02-06 1155</t>
  </si>
  <si>
    <t>2026-02-09 0922</t>
  </si>
  <si>
    <t>L0996</t>
  </si>
  <si>
    <t>12th Gen Intel(R) Core(TM) i5-1245U</t>
  </si>
  <si>
    <t>2026-02-09 1005</t>
  </si>
  <si>
    <t>2026-02-09 1043</t>
  </si>
  <si>
    <t>Poste L0996 - DELL 5530 - Win 10 22H2 (3.20)</t>
  </si>
  <si>
    <t>2026-02-09 1152</t>
  </si>
  <si>
    <t>2026-02-09 1440</t>
  </si>
  <si>
    <t>2026-02-09 1725</t>
  </si>
  <si>
    <t>2026-02-09 1742</t>
  </si>
  <si>
    <t>2026-02-09 1758</t>
  </si>
  <si>
    <t>2026-02-09 1723</t>
  </si>
  <si>
    <t>L9131</t>
  </si>
  <si>
    <t>2026-02-09 1741</t>
  </si>
  <si>
    <t>2026-02-09 1800</t>
  </si>
  <si>
    <t>Poste L9131 - Win 10 22H2 (3.19) - Sur site</t>
  </si>
  <si>
    <t>Durée totale</t>
  </si>
  <si>
    <t>Score pondéré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</si>
</sst>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font>
        <b/>
        <i val="0"/>
        <color rgb="FFC00000"/>
      </font>
    </dxf>
    <dxf>
      <font>
        <b/>
        <i val="0"/>
        <color theme="6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12" Type="http://schemas.openxmlformats.org/officeDocument/2006/relationships/customXml" Target="../customXml/item6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openxmlformats.org/officeDocument/2006/relationships/customXml" Target="../customXml/item5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00000000-0016-0000-0000-000000000000}" autoFormatId="16" applyNumberFormats="0" applyBorderFormats="0" applyFontFormats="0" applyPatternFormats="0" applyAlignmentFormats="0" applyWidthHeightFormats="0">
  <queryTableRefresh nextId="20" unboundColumnsRight="3">
    <queryTableFields count="19">
      <queryTableField id="1" name="TIMESTAMP" tableColumnId="1"/>
      <queryTableField id="2" name="HOSTNAME" tableColumnId="2"/>
      <queryTableField id="3" name="CPU" tableColumnId="3"/>
      <queryTableField id="4" name="S1" tableColumnId="4"/>
      <queryTableField id="5" name="UWM" tableColumnId="5"/>
      <queryTableField id="17" dataBound="0" tableColumnId="17"/>
      <queryTableField id="6" name="FD" tableColumnId="6"/>
      <queryTableField id="7" name="FP" tableColumnId="7"/>
      <queryTableField id="8" name="Launch_Notepad" tableColumnId="8"/>
      <queryTableField id="9" name="Launch_Edge" tableColumnId="9"/>
      <queryTableField id="10" name="Launch_Firefox" tableColumnId="10"/>
      <queryTableField id="11" name="Launch_Chrome" tableColumnId="11"/>
      <queryTableField id="12" name="Stress_Registre" tableColumnId="12"/>
      <queryTableField id="13" name="Ecriture_10k_Random" tableColumnId="13"/>
      <queryTableField id="14" name="Compression_ZIP" tableColumnId="14"/>
      <queryTableField id="15" name="Stress_SHA512_Intense" tableColumnId="15"/>
      <queryTableField id="18" dataBound="0" tableColumnId="19"/>
      <queryTableField id="19" dataBound="0" tableColumnId="18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B5D8AD-4A9D-49DE-81ED-BDC8BD54136A}" name="RAW_LP_DEV_VM_1447" displayName="RAW_LP_DEV_VM_1447" ref="A2:S32" tableType="queryTable" totalsRowShown="0" headerRowDxfId="11">
  <autoFilter ref="A2:S32" xr:uid="{B4B5D8AD-4A9D-49DE-81ED-BDC8BD54136A}"/>
  <sortState xmlns:xlrd2="http://schemas.microsoft.com/office/spreadsheetml/2017/richdata2" ref="A3:S32">
    <sortCondition ref="Q2:Q32"/>
  </sortState>
  <tableColumns count="19">
    <tableColumn id="1" xr3:uid="{2FED3CD7-D37C-4E12-8B7E-8918B8E96210}" uniqueName="1" name="TIMESTAMP" queryTableFieldId="1" dataDxfId="10"/>
    <tableColumn id="2" xr3:uid="{71FB66EF-4EB6-4E22-8042-ADD295F9E3E4}" uniqueName="2" name="HOSTNAME" queryTableFieldId="2" dataDxfId="9"/>
    <tableColumn id="3" xr3:uid="{2785AC16-CFE8-426A-85C6-0F617D9F251B}" uniqueName="3" name="CPU" queryTableFieldId="3" dataDxfId="8"/>
    <tableColumn id="4" xr3:uid="{D2157FB0-EA3B-4707-BAAA-D735AAC63440}" uniqueName="4" name="S1" queryTableFieldId="4" dataDxfId="7"/>
    <tableColumn id="5" xr3:uid="{D33EE9AB-1571-434F-9701-C3935C378B64}" uniqueName="5" name="UWM" queryTableFieldId="5" dataDxfId="6"/>
    <tableColumn id="17" xr3:uid="{3C86E80F-47A9-47D9-8550-110D43A99AD2}" uniqueName="17" name="AppControl" queryTableFieldId="17"/>
    <tableColumn id="6" xr3:uid="{F5E4AD1A-0F01-4DC4-AB3F-9A44420794F6}" uniqueName="6" name="FD" queryTableFieldId="6" dataDxfId="5"/>
    <tableColumn id="7" xr3:uid="{BC4E9A5E-B928-49B9-AE94-DB4F1FAC8B4C}" uniqueName="7" name="DLP" queryTableFieldId="7" dataDxfId="4"/>
    <tableColumn id="8" xr3:uid="{C50082CF-FADF-40B3-B863-AE364B957C17}" uniqueName="8" name="Launch_Notepad" queryTableFieldId="8"/>
    <tableColumn id="9" xr3:uid="{6BBC59DA-EE33-442D-9BB2-6219BB55FC89}" uniqueName="9" name="Launch_Edge" queryTableFieldId="9"/>
    <tableColumn id="10" xr3:uid="{1092D67E-55C7-4E50-9169-1A046453A34F}" uniqueName="10" name="Launch_Firefox" queryTableFieldId="10"/>
    <tableColumn id="11" xr3:uid="{34C1F1D6-9B73-4BBF-9833-52961FFA5345}" uniqueName="11" name="Launch_Chrome" queryTableFieldId="11"/>
    <tableColumn id="12" xr3:uid="{6F2430E3-EC30-4E28-B2B1-E50E0044401C}" uniqueName="12" name="Stress_Registre" queryTableFieldId="12"/>
    <tableColumn id="13" xr3:uid="{08AE4D98-1025-42CF-8D4D-AE2F971B798B}" uniqueName="13" name="Ecriture_10k_Random" queryTableFieldId="13"/>
    <tableColumn id="14" xr3:uid="{784321F9-6DD1-45AB-84A3-2E222C4FF629}" uniqueName="14" name="Compression_ZIP" queryTableFieldId="14"/>
    <tableColumn id="15" xr3:uid="{E4430235-4EED-44E5-80A7-F2F48FB75E76}" uniqueName="15" name="Stress_SHA512_Intense" queryTableFieldId="15"/>
    <tableColumn id="19" xr3:uid="{55BD0377-BCF9-49DC-A52A-F24B07E9B20D}" uniqueName="19" name="Durée totale" queryTableFieldId="18" dataDxfId="3">
      <calculatedColumnFormula>SUM(RAW_LP_DEV_VM_1447[[#This Row],[Launch_Notepad]:[Stress_SHA512_Intense]])</calculatedColumnFormula>
    </tableColumn>
    <tableColumn id="18" xr3:uid="{38EF30B1-EC0D-4C68-A1E8-AC1E33836F3E}" uniqueName="18" name="Score pondéré" queryTableFieldId="19" dataDxfId="0"/>
    <tableColumn id="16" xr3:uid="{6B6B0E37-66E4-423B-98BF-9B2908B785DB}" uniqueName="16" name="Remarque" queryTableFieldId="1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F6ED-0E19-41BF-AE20-51340919A996}">
  <dimension ref="A1:S32"/>
  <sheetViews>
    <sheetView tabSelected="1" zoomScaleNormal="100" workbookViewId="0">
      <selection activeCell="J40" sqref="J40"/>
    </sheetView>
  </sheetViews>
  <sheetFormatPr baseColWidth="10" defaultColWidth="11" defaultRowHeight="14.4" x14ac:dyDescent="0.3"/>
  <cols>
    <col min="1" max="1" width="16.21875" customWidth="1"/>
    <col min="2" max="2" width="12.77734375" bestFit="1" customWidth="1"/>
    <col min="3" max="3" width="36.6640625" bestFit="1" customWidth="1"/>
    <col min="4" max="8" width="5.77734375" customWidth="1"/>
    <col min="9" max="9" width="17.44140625" bestFit="1" customWidth="1"/>
    <col min="10" max="10" width="14.33203125" bestFit="1" customWidth="1"/>
    <col min="11" max="11" width="16" bestFit="1" customWidth="1"/>
    <col min="12" max="12" width="17" bestFit="1" customWidth="1"/>
    <col min="13" max="13" width="16.109375" bestFit="1" customWidth="1"/>
    <col min="14" max="14" width="21.6640625" bestFit="1" customWidth="1"/>
    <col min="15" max="15" width="17.88671875" bestFit="1" customWidth="1"/>
    <col min="16" max="16" width="23.109375" bestFit="1" customWidth="1"/>
    <col min="17" max="17" width="19.6640625" customWidth="1"/>
    <col min="18" max="18" width="18.109375" customWidth="1"/>
    <col min="19" max="19" width="62.33203125" customWidth="1"/>
  </cols>
  <sheetData>
    <row r="1" spans="1:19" x14ac:dyDescent="0.3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9" ht="22.2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76</v>
      </c>
      <c r="R2" s="3" t="s">
        <v>77</v>
      </c>
      <c r="S2" s="3" t="s">
        <v>17</v>
      </c>
    </row>
    <row r="3" spans="1:19" x14ac:dyDescent="0.3">
      <c r="A3" t="s">
        <v>56</v>
      </c>
      <c r="B3" t="s">
        <v>49</v>
      </c>
      <c r="C3" t="s">
        <v>44</v>
      </c>
      <c r="D3" t="s">
        <v>21</v>
      </c>
      <c r="E3" t="s">
        <v>21</v>
      </c>
      <c r="F3" t="s">
        <v>21</v>
      </c>
      <c r="G3" t="s">
        <v>21</v>
      </c>
      <c r="H3" t="s">
        <v>21</v>
      </c>
      <c r="I3">
        <v>0.16</v>
      </c>
      <c r="J3">
        <v>0.13</v>
      </c>
      <c r="K3">
        <v>0.16</v>
      </c>
      <c r="L3">
        <v>0.16</v>
      </c>
      <c r="M3">
        <v>128.69</v>
      </c>
      <c r="N3">
        <v>31.06</v>
      </c>
      <c r="O3">
        <v>195.99</v>
      </c>
      <c r="P3">
        <v>3.21</v>
      </c>
      <c r="Q3" s="4">
        <f>SUM(RAW_LP_DEV_VM_1447[[#This Row],[Launch_Notepad]:[Stress_SHA512_Intense]])</f>
        <v>359.56</v>
      </c>
      <c r="R3" s="4"/>
      <c r="S3" t="s">
        <v>50</v>
      </c>
    </row>
    <row r="4" spans="1:19" x14ac:dyDescent="0.3">
      <c r="A4" t="s">
        <v>58</v>
      </c>
      <c r="B4" t="s">
        <v>49</v>
      </c>
      <c r="C4" t="s">
        <v>44</v>
      </c>
      <c r="D4" t="s">
        <v>21</v>
      </c>
      <c r="E4" t="s">
        <v>21</v>
      </c>
      <c r="F4" t="s">
        <v>21</v>
      </c>
      <c r="G4" t="s">
        <v>26</v>
      </c>
      <c r="H4" t="s">
        <v>21</v>
      </c>
      <c r="I4">
        <v>0.15</v>
      </c>
      <c r="J4">
        <v>0.19</v>
      </c>
      <c r="K4">
        <v>0.22</v>
      </c>
      <c r="L4">
        <v>0.18</v>
      </c>
      <c r="M4">
        <v>141.02000000000001</v>
      </c>
      <c r="N4">
        <v>33.99</v>
      </c>
      <c r="O4">
        <v>211.09</v>
      </c>
      <c r="P4">
        <v>3.73</v>
      </c>
      <c r="Q4" s="4">
        <f>SUM(RAW_LP_DEV_VM_1447[[#This Row],[Launch_Notepad]:[Stress_SHA512_Intense]])</f>
        <v>390.57000000000005</v>
      </c>
      <c r="R4" s="4"/>
      <c r="S4" t="s">
        <v>50</v>
      </c>
    </row>
    <row r="5" spans="1:19" x14ac:dyDescent="0.3">
      <c r="A5" t="s">
        <v>57</v>
      </c>
      <c r="B5" t="s">
        <v>49</v>
      </c>
      <c r="C5" t="s">
        <v>44</v>
      </c>
      <c r="D5" t="s">
        <v>21</v>
      </c>
      <c r="E5" t="s">
        <v>26</v>
      </c>
      <c r="F5" t="s">
        <v>21</v>
      </c>
      <c r="G5" t="s">
        <v>26</v>
      </c>
      <c r="H5" t="s">
        <v>21</v>
      </c>
      <c r="I5">
        <v>0.15</v>
      </c>
      <c r="J5">
        <v>0.79</v>
      </c>
      <c r="K5">
        <v>3.4</v>
      </c>
      <c r="L5">
        <v>15.57</v>
      </c>
      <c r="M5">
        <v>138.47999999999999</v>
      </c>
      <c r="N5">
        <v>36.18</v>
      </c>
      <c r="O5">
        <v>210.31</v>
      </c>
      <c r="P5">
        <v>3.76</v>
      </c>
      <c r="Q5" s="4">
        <f>SUM(RAW_LP_DEV_VM_1447[[#This Row],[Launch_Notepad]:[Stress_SHA512_Intense]])</f>
        <v>408.64</v>
      </c>
      <c r="R5" s="4"/>
      <c r="S5" t="s">
        <v>50</v>
      </c>
    </row>
    <row r="6" spans="1:19" x14ac:dyDescent="0.3">
      <c r="A6" t="s">
        <v>48</v>
      </c>
      <c r="B6" t="s">
        <v>49</v>
      </c>
      <c r="C6" t="s">
        <v>44</v>
      </c>
      <c r="D6" t="s">
        <v>26</v>
      </c>
      <c r="E6" t="s">
        <v>26</v>
      </c>
      <c r="F6" t="s">
        <v>26</v>
      </c>
      <c r="G6" t="s">
        <v>26</v>
      </c>
      <c r="H6" t="s">
        <v>21</v>
      </c>
      <c r="I6">
        <v>0.44</v>
      </c>
      <c r="J6">
        <v>1.24</v>
      </c>
      <c r="K6">
        <v>1.57</v>
      </c>
      <c r="L6">
        <v>2.11</v>
      </c>
      <c r="M6">
        <v>141.05000000000001</v>
      </c>
      <c r="N6">
        <v>39.74</v>
      </c>
      <c r="O6">
        <v>223.56</v>
      </c>
      <c r="P6">
        <v>4.26</v>
      </c>
      <c r="Q6">
        <f>SUM(RAW_LP_DEV_VM_1447[[#This Row],[Launch_Notepad]:[Stress_SHA512_Intense]])</f>
        <v>413.97</v>
      </c>
      <c r="S6" t="s">
        <v>50</v>
      </c>
    </row>
    <row r="7" spans="1:19" x14ac:dyDescent="0.3">
      <c r="A7" t="s">
        <v>59</v>
      </c>
      <c r="B7" t="s">
        <v>49</v>
      </c>
      <c r="C7" t="s">
        <v>44</v>
      </c>
      <c r="D7" t="s">
        <v>21</v>
      </c>
      <c r="E7" t="s">
        <v>26</v>
      </c>
      <c r="F7" t="s">
        <v>26</v>
      </c>
      <c r="G7" t="s">
        <v>26</v>
      </c>
      <c r="H7" t="s">
        <v>21</v>
      </c>
      <c r="I7">
        <v>0.4</v>
      </c>
      <c r="J7">
        <v>1.36</v>
      </c>
      <c r="K7">
        <v>8.98</v>
      </c>
      <c r="L7">
        <v>1.99</v>
      </c>
      <c r="M7">
        <v>138.63</v>
      </c>
      <c r="N7">
        <v>34.85</v>
      </c>
      <c r="O7">
        <v>232.75</v>
      </c>
      <c r="P7">
        <v>3.95</v>
      </c>
      <c r="Q7" s="4">
        <f>SUM(RAW_LP_DEV_VM_1447[[#This Row],[Launch_Notepad]:[Stress_SHA512_Intense]])</f>
        <v>422.90999999999997</v>
      </c>
      <c r="R7" s="4"/>
      <c r="S7" t="s">
        <v>50</v>
      </c>
    </row>
    <row r="8" spans="1:19" x14ac:dyDescent="0.3">
      <c r="A8" s="4" t="s">
        <v>46</v>
      </c>
      <c r="B8" s="4" t="s">
        <v>43</v>
      </c>
      <c r="C8" s="4" t="s">
        <v>44</v>
      </c>
      <c r="D8" s="4" t="s">
        <v>26</v>
      </c>
      <c r="E8" s="4" t="s">
        <v>26</v>
      </c>
      <c r="F8" t="s">
        <v>26</v>
      </c>
      <c r="G8" s="4" t="s">
        <v>21</v>
      </c>
      <c r="H8" t="s">
        <v>21</v>
      </c>
      <c r="I8" s="4">
        <v>0.32</v>
      </c>
      <c r="J8">
        <v>1.92</v>
      </c>
      <c r="K8">
        <v>2.0499999999999998</v>
      </c>
      <c r="L8">
        <v>2.77</v>
      </c>
      <c r="M8">
        <v>154.41</v>
      </c>
      <c r="N8">
        <v>40.43</v>
      </c>
      <c r="O8">
        <v>219.26</v>
      </c>
      <c r="P8">
        <v>4.25</v>
      </c>
      <c r="Q8">
        <f>SUM(RAW_LP_DEV_VM_1447[[#This Row],[Launch_Notepad]:[Stress_SHA512_Intense]])</f>
        <v>425.40999999999997</v>
      </c>
      <c r="S8" t="s">
        <v>47</v>
      </c>
    </row>
    <row r="9" spans="1:19" x14ac:dyDescent="0.3">
      <c r="A9" t="s">
        <v>18</v>
      </c>
      <c r="B9" t="s">
        <v>19</v>
      </c>
      <c r="C9" t="s">
        <v>20</v>
      </c>
      <c r="D9" t="s">
        <v>21</v>
      </c>
      <c r="E9" t="s">
        <v>21</v>
      </c>
      <c r="F9" t="s">
        <v>21</v>
      </c>
      <c r="G9" t="s">
        <v>21</v>
      </c>
      <c r="H9" t="s">
        <v>21</v>
      </c>
      <c r="I9">
        <v>0.28000000000000003</v>
      </c>
      <c r="J9">
        <v>0.14000000000000001</v>
      </c>
      <c r="K9">
        <v>0.38</v>
      </c>
      <c r="L9">
        <v>0.34</v>
      </c>
      <c r="M9">
        <v>159.47</v>
      </c>
      <c r="N9">
        <v>37.840000000000003</v>
      </c>
      <c r="O9">
        <v>249.49</v>
      </c>
      <c r="P9">
        <v>3.67</v>
      </c>
      <c r="Q9">
        <f>SUM(RAW_LP_DEV_VM_1447[[#This Row],[Launch_Notepad]:[Stress_SHA512_Intense]])</f>
        <v>451.61</v>
      </c>
      <c r="S9" t="s">
        <v>22</v>
      </c>
    </row>
    <row r="10" spans="1:19" x14ac:dyDescent="0.3">
      <c r="A10" t="s">
        <v>42</v>
      </c>
      <c r="B10" t="s">
        <v>43</v>
      </c>
      <c r="C10" t="s">
        <v>44</v>
      </c>
      <c r="D10" t="s">
        <v>26</v>
      </c>
      <c r="E10" t="s">
        <v>26</v>
      </c>
      <c r="F10" t="s">
        <v>26</v>
      </c>
      <c r="G10" t="s">
        <v>21</v>
      </c>
      <c r="H10" t="s">
        <v>21</v>
      </c>
      <c r="I10">
        <v>0.39</v>
      </c>
      <c r="J10">
        <v>1.66</v>
      </c>
      <c r="K10">
        <v>1.67</v>
      </c>
      <c r="L10">
        <v>2.86</v>
      </c>
      <c r="M10">
        <v>204.18</v>
      </c>
      <c r="N10">
        <v>42.2</v>
      </c>
      <c r="O10">
        <v>218.58</v>
      </c>
      <c r="P10">
        <v>4.0599999999999996</v>
      </c>
      <c r="Q10">
        <f>SUM(RAW_LP_DEV_VM_1447[[#This Row],[Launch_Notepad]:[Stress_SHA512_Intense]])</f>
        <v>475.60000000000008</v>
      </c>
      <c r="S10" t="s">
        <v>45</v>
      </c>
    </row>
    <row r="11" spans="1:19" x14ac:dyDescent="0.3">
      <c r="A11" t="s">
        <v>35</v>
      </c>
      <c r="B11" t="s">
        <v>24</v>
      </c>
      <c r="C11" t="s">
        <v>25</v>
      </c>
      <c r="D11" t="s">
        <v>26</v>
      </c>
      <c r="E11" t="s">
        <v>21</v>
      </c>
      <c r="F11" t="s">
        <v>21</v>
      </c>
      <c r="G11" t="s">
        <v>21</v>
      </c>
      <c r="H11" t="s">
        <v>26</v>
      </c>
      <c r="I11">
        <v>0.17</v>
      </c>
      <c r="J11">
        <v>0.23</v>
      </c>
      <c r="K11">
        <v>0.28000000000000003</v>
      </c>
      <c r="L11">
        <v>0.27</v>
      </c>
      <c r="M11">
        <v>156.16</v>
      </c>
      <c r="N11">
        <v>55.65</v>
      </c>
      <c r="O11">
        <v>273.64</v>
      </c>
      <c r="P11">
        <v>5.53</v>
      </c>
      <c r="Q11">
        <f>SUM(RAW_LP_DEV_VM_1447[[#This Row],[Launch_Notepad]:[Stress_SHA512_Intense]])</f>
        <v>491.92999999999995</v>
      </c>
      <c r="S11" t="s">
        <v>36</v>
      </c>
    </row>
    <row r="12" spans="1:19" x14ac:dyDescent="0.3">
      <c r="A12" t="s">
        <v>23</v>
      </c>
      <c r="B12" t="s">
        <v>24</v>
      </c>
      <c r="C12" t="s">
        <v>25</v>
      </c>
      <c r="D12" t="s">
        <v>26</v>
      </c>
      <c r="E12" t="s">
        <v>26</v>
      </c>
      <c r="F12" t="s">
        <v>26</v>
      </c>
      <c r="G12" t="s">
        <v>26</v>
      </c>
      <c r="H12" t="s">
        <v>26</v>
      </c>
      <c r="I12">
        <v>1.62</v>
      </c>
      <c r="J12">
        <v>3.23</v>
      </c>
      <c r="K12">
        <v>7.7</v>
      </c>
      <c r="L12">
        <v>16.37</v>
      </c>
      <c r="M12">
        <v>159.93</v>
      </c>
      <c r="N12">
        <v>52.06</v>
      </c>
      <c r="O12">
        <v>277.2</v>
      </c>
      <c r="P12">
        <v>6.58</v>
      </c>
      <c r="Q12">
        <f>SUM(RAW_LP_DEV_VM_1447[[#This Row],[Launch_Notepad]:[Stress_SHA512_Intense]])</f>
        <v>524.69000000000005</v>
      </c>
      <c r="S12" t="s">
        <v>27</v>
      </c>
    </row>
    <row r="13" spans="1:19" x14ac:dyDescent="0.3">
      <c r="A13" t="s">
        <v>37</v>
      </c>
      <c r="B13" t="s">
        <v>24</v>
      </c>
      <c r="C13" t="s">
        <v>25</v>
      </c>
      <c r="D13" t="s">
        <v>26</v>
      </c>
      <c r="E13" t="s">
        <v>21</v>
      </c>
      <c r="F13" t="s">
        <v>26</v>
      </c>
      <c r="G13" t="s">
        <v>21</v>
      </c>
      <c r="H13" t="s">
        <v>26</v>
      </c>
      <c r="I13">
        <v>1.1000000000000001</v>
      </c>
      <c r="J13">
        <v>0.77</v>
      </c>
      <c r="K13">
        <v>1.32</v>
      </c>
      <c r="L13">
        <v>2.5499999999999998</v>
      </c>
      <c r="M13">
        <v>145.87</v>
      </c>
      <c r="N13">
        <v>48.07</v>
      </c>
      <c r="O13">
        <v>323.70999999999998</v>
      </c>
      <c r="P13">
        <v>4.99</v>
      </c>
      <c r="Q13">
        <f>SUM(RAW_LP_DEV_VM_1447[[#This Row],[Launch_Notepad]:[Stress_SHA512_Intense]])</f>
        <v>528.38</v>
      </c>
      <c r="S13" t="s">
        <v>36</v>
      </c>
    </row>
    <row r="14" spans="1:19" x14ac:dyDescent="0.3">
      <c r="A14" t="s">
        <v>51</v>
      </c>
      <c r="B14" t="s">
        <v>52</v>
      </c>
      <c r="C14" t="s">
        <v>53</v>
      </c>
      <c r="D14" t="s">
        <v>26</v>
      </c>
      <c r="E14" t="s">
        <v>26</v>
      </c>
      <c r="F14" t="s">
        <v>26</v>
      </c>
      <c r="G14" t="s">
        <v>26</v>
      </c>
      <c r="H14" t="s">
        <v>21</v>
      </c>
      <c r="I14">
        <v>0.66</v>
      </c>
      <c r="J14">
        <v>1.92</v>
      </c>
      <c r="K14">
        <v>2.63</v>
      </c>
      <c r="L14">
        <v>1.89</v>
      </c>
      <c r="M14">
        <v>271.54000000000002</v>
      </c>
      <c r="N14">
        <v>44.78</v>
      </c>
      <c r="O14">
        <v>197.64</v>
      </c>
      <c r="P14">
        <v>7.61</v>
      </c>
      <c r="Q14">
        <f>SUM(RAW_LP_DEV_VM_1447[[#This Row],[Launch_Notepad]:[Stress_SHA512_Intense]])</f>
        <v>528.67000000000007</v>
      </c>
      <c r="S14" t="s">
        <v>54</v>
      </c>
    </row>
    <row r="15" spans="1:19" x14ac:dyDescent="0.3">
      <c r="A15" t="s">
        <v>39</v>
      </c>
      <c r="B15" t="s">
        <v>24</v>
      </c>
      <c r="C15" t="s">
        <v>25</v>
      </c>
      <c r="D15" t="s">
        <v>26</v>
      </c>
      <c r="E15" t="s">
        <v>21</v>
      </c>
      <c r="F15" t="s">
        <v>26</v>
      </c>
      <c r="G15" t="s">
        <v>26</v>
      </c>
      <c r="H15" t="s">
        <v>26</v>
      </c>
      <c r="I15">
        <v>1.48</v>
      </c>
      <c r="J15">
        <v>0.96</v>
      </c>
      <c r="K15">
        <v>1.66</v>
      </c>
      <c r="L15">
        <v>3.25</v>
      </c>
      <c r="M15">
        <v>185.3</v>
      </c>
      <c r="N15">
        <v>49.54</v>
      </c>
      <c r="O15">
        <v>280.82</v>
      </c>
      <c r="P15">
        <v>6.09</v>
      </c>
      <c r="Q15">
        <f>SUM(RAW_LP_DEV_VM_1447[[#This Row],[Launch_Notepad]:[Stress_SHA512_Intense]])</f>
        <v>529.1</v>
      </c>
      <c r="S15" t="s">
        <v>40</v>
      </c>
    </row>
    <row r="16" spans="1:19" x14ac:dyDescent="0.3">
      <c r="A16" t="s">
        <v>38</v>
      </c>
      <c r="B16" t="s">
        <v>24</v>
      </c>
      <c r="C16" t="s">
        <v>25</v>
      </c>
      <c r="D16" t="s">
        <v>26</v>
      </c>
      <c r="E16" t="s">
        <v>21</v>
      </c>
      <c r="F16" t="s">
        <v>26</v>
      </c>
      <c r="G16" t="s">
        <v>26</v>
      </c>
      <c r="H16" t="s">
        <v>26</v>
      </c>
      <c r="I16">
        <v>1.24</v>
      </c>
      <c r="J16">
        <v>0.79</v>
      </c>
      <c r="K16">
        <v>1.49</v>
      </c>
      <c r="L16">
        <v>2.0299999999999998</v>
      </c>
      <c r="M16">
        <v>150.19</v>
      </c>
      <c r="N16">
        <v>46.8</v>
      </c>
      <c r="O16">
        <v>323.27</v>
      </c>
      <c r="P16">
        <v>6.78</v>
      </c>
      <c r="Q16">
        <f>SUM(RAW_LP_DEV_VM_1447[[#This Row],[Launch_Notepad]:[Stress_SHA512_Intense]])</f>
        <v>532.58999999999992</v>
      </c>
      <c r="S16" t="s">
        <v>36</v>
      </c>
    </row>
    <row r="17" spans="1:19" x14ac:dyDescent="0.3">
      <c r="A17" t="s">
        <v>28</v>
      </c>
      <c r="B17" t="s">
        <v>24</v>
      </c>
      <c r="C17" t="s">
        <v>25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>
        <v>1.4</v>
      </c>
      <c r="J17">
        <v>7.78</v>
      </c>
      <c r="K17">
        <v>5.53</v>
      </c>
      <c r="L17">
        <v>16.41</v>
      </c>
      <c r="M17">
        <v>161.85</v>
      </c>
      <c r="N17">
        <v>53.92</v>
      </c>
      <c r="O17">
        <v>299.14999999999998</v>
      </c>
      <c r="P17">
        <v>8.02</v>
      </c>
      <c r="Q17">
        <f>SUM(RAW_LP_DEV_VM_1447[[#This Row],[Launch_Notepad]:[Stress_SHA512_Intense]])</f>
        <v>554.05999999999995</v>
      </c>
      <c r="S17" t="s">
        <v>27</v>
      </c>
    </row>
    <row r="18" spans="1:19" x14ac:dyDescent="0.3">
      <c r="A18" t="s">
        <v>66</v>
      </c>
      <c r="B18" t="s">
        <v>61</v>
      </c>
      <c r="C18" t="s">
        <v>62</v>
      </c>
      <c r="D18" t="s">
        <v>26</v>
      </c>
      <c r="E18" t="s">
        <v>21</v>
      </c>
      <c r="F18" t="s">
        <v>21</v>
      </c>
      <c r="G18" t="s">
        <v>21</v>
      </c>
      <c r="H18" t="s">
        <v>21</v>
      </c>
      <c r="I18">
        <v>0.08</v>
      </c>
      <c r="J18">
        <v>0.36</v>
      </c>
      <c r="K18">
        <v>0.26</v>
      </c>
      <c r="L18">
        <v>0.37</v>
      </c>
      <c r="M18">
        <v>199.63</v>
      </c>
      <c r="N18">
        <v>75.5</v>
      </c>
      <c r="O18">
        <v>278.86</v>
      </c>
      <c r="P18">
        <v>8.98</v>
      </c>
      <c r="Q18" s="4">
        <f>SUM(RAW_LP_DEV_VM_1447[[#This Row],[Launch_Notepad]:[Stress_SHA512_Intense]])</f>
        <v>564.04</v>
      </c>
      <c r="R18" s="4"/>
      <c r="S18" t="s">
        <v>65</v>
      </c>
    </row>
    <row r="19" spans="1:19" x14ac:dyDescent="0.3">
      <c r="A19" t="s">
        <v>41</v>
      </c>
      <c r="B19" t="s">
        <v>24</v>
      </c>
      <c r="C19" t="s">
        <v>25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>
        <v>1.29</v>
      </c>
      <c r="J19">
        <v>6.37</v>
      </c>
      <c r="K19">
        <v>4.1900000000000004</v>
      </c>
      <c r="L19">
        <v>16.260000000000002</v>
      </c>
      <c r="M19">
        <v>159.72</v>
      </c>
      <c r="N19">
        <v>47.7</v>
      </c>
      <c r="O19">
        <v>327.77</v>
      </c>
      <c r="P19">
        <v>7.66</v>
      </c>
      <c r="Q19">
        <f>SUM(RAW_LP_DEV_VM_1447[[#This Row],[Launch_Notepad]:[Stress_SHA512_Intense]])</f>
        <v>570.95999999999992</v>
      </c>
      <c r="S19" t="s">
        <v>40</v>
      </c>
    </row>
    <row r="20" spans="1:19" x14ac:dyDescent="0.3">
      <c r="A20" t="s">
        <v>74</v>
      </c>
      <c r="B20" t="s">
        <v>72</v>
      </c>
      <c r="C20" t="s">
        <v>53</v>
      </c>
      <c r="D20" t="s">
        <v>26</v>
      </c>
      <c r="E20" t="s">
        <v>21</v>
      </c>
      <c r="F20" t="s">
        <v>26</v>
      </c>
      <c r="G20" t="s">
        <v>26</v>
      </c>
      <c r="H20" t="s">
        <v>21</v>
      </c>
      <c r="I20">
        <v>0.19</v>
      </c>
      <c r="J20">
        <v>0.3</v>
      </c>
      <c r="K20">
        <v>0.94</v>
      </c>
      <c r="L20">
        <v>0.62</v>
      </c>
      <c r="M20">
        <v>230.15</v>
      </c>
      <c r="N20">
        <v>61.89</v>
      </c>
      <c r="O20">
        <v>276</v>
      </c>
      <c r="P20">
        <v>8.81</v>
      </c>
      <c r="Q20" s="4">
        <f>SUM(RAW_LP_DEV_VM_1447[[#This Row],[Launch_Notepad]:[Stress_SHA512_Intense]])</f>
        <v>578.9</v>
      </c>
      <c r="R20" s="4"/>
      <c r="S20" t="s">
        <v>75</v>
      </c>
    </row>
    <row r="21" spans="1:19" x14ac:dyDescent="0.3">
      <c r="A21" t="s">
        <v>67</v>
      </c>
      <c r="B21" t="s">
        <v>61</v>
      </c>
      <c r="C21" t="s">
        <v>62</v>
      </c>
      <c r="D21" t="s">
        <v>26</v>
      </c>
      <c r="E21" t="s">
        <v>21</v>
      </c>
      <c r="F21" t="s">
        <v>26</v>
      </c>
      <c r="G21" t="s">
        <v>26</v>
      </c>
      <c r="H21" t="s">
        <v>21</v>
      </c>
      <c r="I21">
        <v>0.16</v>
      </c>
      <c r="J21">
        <v>0.32</v>
      </c>
      <c r="K21">
        <v>0.62</v>
      </c>
      <c r="L21">
        <v>0.57999999999999996</v>
      </c>
      <c r="M21">
        <v>193.2</v>
      </c>
      <c r="N21">
        <v>75.94</v>
      </c>
      <c r="O21">
        <v>297.19</v>
      </c>
      <c r="P21">
        <v>10.98</v>
      </c>
      <c r="Q21" s="4">
        <f>SUM(RAW_LP_DEV_VM_1447[[#This Row],[Launch_Notepad]:[Stress_SHA512_Intense]])</f>
        <v>578.99</v>
      </c>
      <c r="R21" s="4"/>
      <c r="S21" t="s">
        <v>65</v>
      </c>
    </row>
    <row r="22" spans="1:19" x14ac:dyDescent="0.3">
      <c r="A22" t="s">
        <v>63</v>
      </c>
      <c r="B22" t="s">
        <v>61</v>
      </c>
      <c r="C22" t="s">
        <v>62</v>
      </c>
      <c r="D22" t="s">
        <v>26</v>
      </c>
      <c r="E22" t="s">
        <v>26</v>
      </c>
      <c r="F22" t="s">
        <v>21</v>
      </c>
      <c r="G22" t="s">
        <v>26</v>
      </c>
      <c r="H22" t="s">
        <v>21</v>
      </c>
      <c r="I22">
        <v>0.13</v>
      </c>
      <c r="J22">
        <v>0.24</v>
      </c>
      <c r="K22">
        <v>0.89</v>
      </c>
      <c r="L22">
        <v>0.49</v>
      </c>
      <c r="M22">
        <v>193.61</v>
      </c>
      <c r="N22">
        <v>70.290000000000006</v>
      </c>
      <c r="O22">
        <v>318.68</v>
      </c>
      <c r="P22">
        <v>9.9499999999999993</v>
      </c>
      <c r="Q22" s="4">
        <f>SUM(RAW_LP_DEV_VM_1447[[#This Row],[Launch_Notepad]:[Stress_SHA512_Intense]])</f>
        <v>594.28000000000009</v>
      </c>
      <c r="R22" s="4"/>
      <c r="S22" t="s">
        <v>65</v>
      </c>
    </row>
    <row r="23" spans="1:19" x14ac:dyDescent="0.3">
      <c r="A23" t="s">
        <v>73</v>
      </c>
      <c r="B23" t="s">
        <v>72</v>
      </c>
      <c r="C23" t="s">
        <v>53</v>
      </c>
      <c r="D23" t="s">
        <v>26</v>
      </c>
      <c r="E23" t="s">
        <v>26</v>
      </c>
      <c r="F23" t="s">
        <v>21</v>
      </c>
      <c r="G23" t="s">
        <v>26</v>
      </c>
      <c r="H23" t="s">
        <v>21</v>
      </c>
      <c r="I23">
        <v>0.14000000000000001</v>
      </c>
      <c r="J23">
        <v>0.35</v>
      </c>
      <c r="K23">
        <v>0.88</v>
      </c>
      <c r="L23">
        <v>0.36</v>
      </c>
      <c r="M23">
        <v>219.81</v>
      </c>
      <c r="N23">
        <v>60.42</v>
      </c>
      <c r="O23">
        <v>319.10000000000002</v>
      </c>
      <c r="P23">
        <v>8</v>
      </c>
      <c r="Q23" s="4">
        <f>SUM(RAW_LP_DEV_VM_1447[[#This Row],[Launch_Notepad]:[Stress_SHA512_Intense]])</f>
        <v>609.05999999999995</v>
      </c>
      <c r="R23" s="4"/>
      <c r="S23" t="s">
        <v>75</v>
      </c>
    </row>
    <row r="24" spans="1:19" x14ac:dyDescent="0.3">
      <c r="A24" t="s">
        <v>71</v>
      </c>
      <c r="B24" t="s">
        <v>72</v>
      </c>
      <c r="C24" t="s">
        <v>53</v>
      </c>
      <c r="D24" t="s">
        <v>26</v>
      </c>
      <c r="E24" t="s">
        <v>26</v>
      </c>
      <c r="F24" t="s">
        <v>26</v>
      </c>
      <c r="G24" t="s">
        <v>26</v>
      </c>
      <c r="H24" t="s">
        <v>21</v>
      </c>
      <c r="I24">
        <v>0.17</v>
      </c>
      <c r="J24">
        <v>0.32</v>
      </c>
      <c r="K24">
        <v>0.86</v>
      </c>
      <c r="L24">
        <v>0.42</v>
      </c>
      <c r="M24">
        <v>233.3</v>
      </c>
      <c r="N24">
        <v>61.58</v>
      </c>
      <c r="O24">
        <v>316.11</v>
      </c>
      <c r="P24">
        <v>8.76</v>
      </c>
      <c r="Q24" s="4">
        <f>SUM(RAW_LP_DEV_VM_1447[[#This Row],[Launch_Notepad]:[Stress_SHA512_Intense]])</f>
        <v>621.52</v>
      </c>
      <c r="R24" s="4"/>
      <c r="S24" t="s">
        <v>75</v>
      </c>
    </row>
    <row r="25" spans="1:19" x14ac:dyDescent="0.3">
      <c r="A25" t="s">
        <v>68</v>
      </c>
      <c r="B25" t="s">
        <v>24</v>
      </c>
      <c r="C25" t="s">
        <v>25</v>
      </c>
      <c r="D25" t="s">
        <v>26</v>
      </c>
      <c r="E25" t="s">
        <v>26</v>
      </c>
      <c r="F25" t="s">
        <v>26</v>
      </c>
      <c r="G25" t="s">
        <v>26</v>
      </c>
      <c r="H25" t="s">
        <v>26</v>
      </c>
      <c r="I25">
        <v>0.84</v>
      </c>
      <c r="J25">
        <v>1.44</v>
      </c>
      <c r="K25">
        <v>1.23</v>
      </c>
      <c r="L25">
        <v>2.76</v>
      </c>
      <c r="M25">
        <v>202.6</v>
      </c>
      <c r="N25">
        <v>70.739999999999995</v>
      </c>
      <c r="O25">
        <v>342.89</v>
      </c>
      <c r="P25">
        <v>10.43</v>
      </c>
      <c r="Q25" s="4">
        <f>SUM(RAW_LP_DEV_VM_1447[[#This Row],[Launch_Notepad]:[Stress_SHA512_Intense]])</f>
        <v>632.92999999999995</v>
      </c>
      <c r="R25" s="4"/>
      <c r="S25" t="s">
        <v>27</v>
      </c>
    </row>
    <row r="26" spans="1:19" x14ac:dyDescent="0.3">
      <c r="A26" t="s">
        <v>55</v>
      </c>
      <c r="B26" t="s">
        <v>24</v>
      </c>
      <c r="C26" t="s">
        <v>25</v>
      </c>
      <c r="D26" t="s">
        <v>21</v>
      </c>
      <c r="E26" t="s">
        <v>26</v>
      </c>
      <c r="F26" t="s">
        <v>26</v>
      </c>
      <c r="G26" t="s">
        <v>26</v>
      </c>
      <c r="H26" t="s">
        <v>26</v>
      </c>
      <c r="I26">
        <v>1.71</v>
      </c>
      <c r="J26">
        <v>2.65</v>
      </c>
      <c r="K26">
        <v>10.02</v>
      </c>
      <c r="L26">
        <v>16.239999999999998</v>
      </c>
      <c r="M26">
        <v>169.91</v>
      </c>
      <c r="N26">
        <v>53.69</v>
      </c>
      <c r="O26">
        <v>391.3</v>
      </c>
      <c r="P26">
        <v>8.4700000000000006</v>
      </c>
      <c r="Q26" s="4">
        <f>SUM(RAW_LP_DEV_VM_1447[[#This Row],[Launch_Notepad]:[Stress_SHA512_Intense]])</f>
        <v>653.99</v>
      </c>
      <c r="R26" s="4"/>
      <c r="S26" t="s">
        <v>27</v>
      </c>
    </row>
    <row r="27" spans="1:19" x14ac:dyDescent="0.3">
      <c r="A27" t="s">
        <v>64</v>
      </c>
      <c r="B27" t="s">
        <v>61</v>
      </c>
      <c r="C27" t="s">
        <v>62</v>
      </c>
      <c r="D27" t="s">
        <v>26</v>
      </c>
      <c r="E27" t="s">
        <v>21</v>
      </c>
      <c r="F27" t="s">
        <v>21</v>
      </c>
      <c r="G27" t="s">
        <v>26</v>
      </c>
      <c r="H27" t="s">
        <v>21</v>
      </c>
      <c r="I27">
        <v>0.08</v>
      </c>
      <c r="J27">
        <v>0.38</v>
      </c>
      <c r="K27">
        <v>0.34</v>
      </c>
      <c r="L27">
        <v>0.41</v>
      </c>
      <c r="M27">
        <v>208.32</v>
      </c>
      <c r="N27">
        <v>82.23</v>
      </c>
      <c r="O27">
        <v>366.83</v>
      </c>
      <c r="P27">
        <v>12.29</v>
      </c>
      <c r="Q27" s="4">
        <f>SUM(RAW_LP_DEV_VM_1447[[#This Row],[Launch_Notepad]:[Stress_SHA512_Intense]])</f>
        <v>670.87999999999988</v>
      </c>
      <c r="R27" s="4"/>
      <c r="S27" t="s">
        <v>65</v>
      </c>
    </row>
    <row r="28" spans="1:19" x14ac:dyDescent="0.3">
      <c r="A28" t="s">
        <v>70</v>
      </c>
      <c r="B28" t="s">
        <v>24</v>
      </c>
      <c r="C28" t="s">
        <v>25</v>
      </c>
      <c r="D28" t="s">
        <v>26</v>
      </c>
      <c r="E28" t="s">
        <v>21</v>
      </c>
      <c r="F28" t="s">
        <v>26</v>
      </c>
      <c r="G28" t="s">
        <v>26</v>
      </c>
      <c r="H28" t="s">
        <v>26</v>
      </c>
      <c r="I28">
        <v>0.77</v>
      </c>
      <c r="J28">
        <v>0.45</v>
      </c>
      <c r="K28">
        <v>0.82</v>
      </c>
      <c r="L28">
        <v>0.51</v>
      </c>
      <c r="M28">
        <v>183.24</v>
      </c>
      <c r="N28">
        <v>67.34</v>
      </c>
      <c r="O28">
        <v>423.89</v>
      </c>
      <c r="P28">
        <v>11.34</v>
      </c>
      <c r="Q28" s="4">
        <f>SUM(RAW_LP_DEV_VM_1447[[#This Row],[Launch_Notepad]:[Stress_SHA512_Intense]])</f>
        <v>688.36</v>
      </c>
      <c r="R28" s="4"/>
      <c r="S28" t="s">
        <v>27</v>
      </c>
    </row>
    <row r="29" spans="1:19" x14ac:dyDescent="0.3">
      <c r="A29" t="s">
        <v>29</v>
      </c>
      <c r="B29" t="s">
        <v>30</v>
      </c>
      <c r="C29" t="s">
        <v>31</v>
      </c>
      <c r="D29" t="s">
        <v>26</v>
      </c>
      <c r="E29" t="s">
        <v>26</v>
      </c>
      <c r="F29" t="s">
        <v>26</v>
      </c>
      <c r="G29" t="s">
        <v>26</v>
      </c>
      <c r="H29" t="s">
        <v>21</v>
      </c>
      <c r="I29">
        <v>0.82</v>
      </c>
      <c r="J29">
        <v>2.1</v>
      </c>
      <c r="K29">
        <v>1.66</v>
      </c>
      <c r="L29">
        <v>1.35</v>
      </c>
      <c r="M29">
        <v>311.64</v>
      </c>
      <c r="N29">
        <v>107.13</v>
      </c>
      <c r="O29">
        <v>321.87</v>
      </c>
      <c r="P29">
        <v>11.61</v>
      </c>
      <c r="Q29">
        <f>SUM(RAW_LP_DEV_VM_1447[[#This Row],[Launch_Notepad]:[Stress_SHA512_Intense]])</f>
        <v>758.18</v>
      </c>
      <c r="S29" t="s">
        <v>32</v>
      </c>
    </row>
    <row r="30" spans="1:19" x14ac:dyDescent="0.3">
      <c r="A30" t="s">
        <v>69</v>
      </c>
      <c r="B30" t="s">
        <v>24</v>
      </c>
      <c r="C30" t="s">
        <v>25</v>
      </c>
      <c r="D30" t="s">
        <v>26</v>
      </c>
      <c r="E30" t="s">
        <v>26</v>
      </c>
      <c r="F30" t="s">
        <v>21</v>
      </c>
      <c r="G30" t="s">
        <v>26</v>
      </c>
      <c r="H30" t="s">
        <v>26</v>
      </c>
      <c r="I30">
        <v>0.38</v>
      </c>
      <c r="J30">
        <v>0.97</v>
      </c>
      <c r="K30">
        <v>0.69</v>
      </c>
      <c r="L30">
        <v>1.71</v>
      </c>
      <c r="M30">
        <v>171.19</v>
      </c>
      <c r="N30">
        <v>68.72</v>
      </c>
      <c r="O30">
        <v>527.9</v>
      </c>
      <c r="P30">
        <v>10.85</v>
      </c>
      <c r="Q30" s="4">
        <f>SUM(RAW_LP_DEV_VM_1447[[#This Row],[Launch_Notepad]:[Stress_SHA512_Intense]])</f>
        <v>782.41</v>
      </c>
      <c r="R30" s="4"/>
      <c r="S30" t="s">
        <v>27</v>
      </c>
    </row>
    <row r="31" spans="1:19" x14ac:dyDescent="0.3">
      <c r="A31" t="s">
        <v>60</v>
      </c>
      <c r="B31" t="s">
        <v>61</v>
      </c>
      <c r="C31" t="s">
        <v>62</v>
      </c>
      <c r="D31" t="s">
        <v>26</v>
      </c>
      <c r="E31" t="s">
        <v>26</v>
      </c>
      <c r="F31" t="s">
        <v>26</v>
      </c>
      <c r="G31" t="s">
        <v>26</v>
      </c>
      <c r="H31" t="s">
        <v>21</v>
      </c>
      <c r="I31">
        <v>0.22</v>
      </c>
      <c r="J31">
        <v>0.96</v>
      </c>
      <c r="K31">
        <v>8.0399999999999991</v>
      </c>
      <c r="L31">
        <v>1.2</v>
      </c>
      <c r="M31">
        <v>214.66</v>
      </c>
      <c r="N31">
        <v>115.04</v>
      </c>
      <c r="O31">
        <v>520.24</v>
      </c>
      <c r="P31">
        <v>14.15</v>
      </c>
      <c r="Q31" s="4">
        <f>SUM(RAW_LP_DEV_VM_1447[[#This Row],[Launch_Notepad]:[Stress_SHA512_Intense]])</f>
        <v>874.51</v>
      </c>
      <c r="R31" s="4"/>
      <c r="S31" t="s">
        <v>65</v>
      </c>
    </row>
    <row r="32" spans="1:19" x14ac:dyDescent="0.3">
      <c r="A32" t="s">
        <v>33</v>
      </c>
      <c r="B32" t="s">
        <v>30</v>
      </c>
      <c r="C32" t="s">
        <v>31</v>
      </c>
      <c r="D32" t="s">
        <v>26</v>
      </c>
      <c r="E32" t="s">
        <v>26</v>
      </c>
      <c r="F32" t="s">
        <v>26</v>
      </c>
      <c r="G32" t="s">
        <v>26</v>
      </c>
      <c r="H32" t="s">
        <v>21</v>
      </c>
      <c r="I32">
        <v>6.95</v>
      </c>
      <c r="J32">
        <v>16.11</v>
      </c>
      <c r="K32">
        <v>8.8000000000000007</v>
      </c>
      <c r="L32">
        <v>6.4</v>
      </c>
      <c r="M32">
        <v>428.05</v>
      </c>
      <c r="N32">
        <v>101.24</v>
      </c>
      <c r="O32">
        <v>352.27</v>
      </c>
      <c r="P32">
        <v>17.47</v>
      </c>
      <c r="Q32">
        <f>SUM(RAW_LP_DEV_VM_1447[[#This Row],[Launch_Notepad]:[Stress_SHA512_Intense]])</f>
        <v>937.29</v>
      </c>
      <c r="S32" t="s">
        <v>34</v>
      </c>
    </row>
  </sheetData>
  <conditionalFormatting sqref="D1:H1048576">
    <cfRule type="beginsWith" dxfId="2" priority="2" operator="beginsWith" text="ON">
      <formula>LEFT(D1,LEN("ON"))="ON"</formula>
    </cfRule>
    <cfRule type="containsText" dxfId="1" priority="3" operator="containsText" text="OFF">
      <formula>NOT(ISERROR(SEARCH("OFF",D1)))</formula>
    </cfRule>
  </conditionalFormatting>
  <conditionalFormatting sqref="Q1:Q1048576 R2:R3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 générique" ma:contentTypeID="0x0101002B5F2CB5F3BBD3469ABDFF5A5589FABD0039AB7090E895014A9D5587957A04E78F" ma:contentTypeVersion="13" ma:contentTypeDescription="" ma:contentTypeScope="" ma:versionID="733a33d63cb822d9a402325d53d6d860">
  <xsd:schema xmlns:xsd="http://www.w3.org/2001/XMLSchema" xmlns:xs="http://www.w3.org/2001/XMLSchema" xmlns:p="http://schemas.microsoft.com/office/2006/metadata/properties" xmlns:ns2="4b8c1279-6de2-4c61-952d-20035ff38c00" xmlns:ns3="5e0d4d52-fb8a-4e05-969a-5faf0489c961" targetNamespace="http://schemas.microsoft.com/office/2006/metadata/properties" ma:root="true" ma:fieldsID="5c0bdeeae35c8d70f9e882c9ca4431be" ns2:_="" ns3:_="">
    <xsd:import namespace="4b8c1279-6de2-4c61-952d-20035ff38c00"/>
    <xsd:import namespace="5e0d4d52-fb8a-4e05-969a-5faf0489c961"/>
    <xsd:element name="properties">
      <xsd:complexType>
        <xsd:sequence>
          <xsd:element name="documentManagement">
            <xsd:complexType>
              <xsd:all>
                <xsd:element ref="ns2:Confidentialité"/>
                <xsd:element ref="ns2:eb199299140f438889f6033b47699d03" minOccurs="0"/>
                <xsd:element ref="ns2:TaxCatchAll" minOccurs="0"/>
                <xsd:element ref="ns2:TaxCatchAllLabel" minOccurs="0"/>
                <xsd:element ref="ns3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8c1279-6de2-4c61-952d-20035ff38c00" elementFormDefault="qualified">
    <xsd:import namespace="http://schemas.microsoft.com/office/2006/documentManagement/types"/>
    <xsd:import namespace="http://schemas.microsoft.com/office/infopath/2007/PartnerControls"/>
    <xsd:element name="Confidentialité" ma:index="8" ma:displayName="Confidentialité" ma:default="Interne" ma:format="RadioButtons" ma:indexed="true" ma:internalName="Confidentialit_x00e9_">
      <xsd:simpleType>
        <xsd:restriction base="dms:Choice">
          <xsd:enumeration value="Public"/>
          <xsd:enumeration value="Interne"/>
          <xsd:enumeration value="Confidentiel"/>
        </xsd:restriction>
      </xsd:simpleType>
    </xsd:element>
    <xsd:element name="eb199299140f438889f6033b47699d03" ma:index="9" nillable="true" ma:taxonomy="true" ma:internalName="eb199299140f438889f6033b47699d03" ma:taxonomyFieldName="Type_x0020_de_x0020_document" ma:displayName="Type de document" ma:indexed="true" ma:default="" ma:fieldId="{eb199299-140f-4388-89f6-033b47699d03}" ma:sspId="f8971990-567e-4a9e-8c00-e1592322a9ee" ma:termSetId="18b441df-c989-4c73-8dd5-d38d2fc43395" ma:anchorId="c5485034-a3f7-45f3-b440-b4910c1197c7" ma:open="false" ma:isKeyword="false">
      <xsd:complexType>
        <xsd:sequence>
          <xsd:element ref="pc:Terms" minOccurs="0" maxOccurs="1"/>
        </xsd:sequence>
      </xsd:complexType>
    </xsd:element>
    <xsd:element name="TaxCatchAll" ma:index="10" nillable="true" ma:displayName="Colonne Attraper tout de Taxonomie" ma:description="" ma:hidden="true" ma:list="{f16b5157-20a6-4bed-965c-cbe058a77500}" ma:internalName="TaxCatchAll" ma:showField="CatchAllData" ma:web="4b8c1279-6de2-4c61-952d-20035ff38c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1" nillable="true" ma:displayName="Colonne Attraper tout de Taxonomie1" ma:description="" ma:hidden="true" ma:list="{f16b5157-20a6-4bed-965c-cbe058a77500}" ma:internalName="TaxCatchAllLabel" ma:readOnly="true" ma:showField="CatchAllDataLabel" ma:web="4b8c1279-6de2-4c61-952d-20035ff38c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0d4d52-fb8a-4e05-969a-5faf0489c96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4.xml><?xml version="1.0" encoding="utf-8"?>
<?mso-contentType ?>
<SharedContentType xmlns="Microsoft.SharePoint.Taxonomy.ContentTypeSync" SourceId="f8971990-567e-4a9e-8c00-e1592322a9ee" ContentTypeId="0x0101002B5F2CB5F3BBD3469ABDFF5A5589FABD" PreviousValue="false"/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nfidentialité xmlns="4b8c1279-6de2-4c61-952d-20035ff38c00">Interne</Confidentialité>
    <eb199299140f438889f6033b47699d03 xmlns="4b8c1279-6de2-4c61-952d-20035ff38c00">
      <Terms xmlns="http://schemas.microsoft.com/office/infopath/2007/PartnerControls"/>
    </eb199299140f438889f6033b47699d03>
    <TaxCatchAll xmlns="4b8c1279-6de2-4c61-952d-20035ff38c00"/>
  </documentManagement>
</p:properties>
</file>

<file path=customXml/itemProps1.xml><?xml version="1.0" encoding="utf-8"?>
<ds:datastoreItem xmlns:ds="http://schemas.openxmlformats.org/officeDocument/2006/customXml" ds:itemID="{BD82E072-77AB-4D6E-9A0F-0CC7B3B73A8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5A515AD-D3E0-49F8-A2A9-AD87491D06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8c1279-6de2-4c61-952d-20035ff38c00"/>
    <ds:schemaRef ds:uri="5e0d4d52-fb8a-4e05-969a-5faf0489c9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ABAC28-8EF2-4A9E-B317-71EC9A69DC8A}">
  <ds:schemaRefs>
    <ds:schemaRef ds:uri="http://schemas.microsoft.com/office/2006/metadata/customXsn"/>
  </ds:schemaRefs>
</ds:datastoreItem>
</file>

<file path=customXml/itemProps4.xml><?xml version="1.0" encoding="utf-8"?>
<ds:datastoreItem xmlns:ds="http://schemas.openxmlformats.org/officeDocument/2006/customXml" ds:itemID="{59A04CCD-EC59-419B-A00A-25EEAE469856}">
  <ds:schemaRefs>
    <ds:schemaRef ds:uri="Microsoft.SharePoint.Taxonomy.ContentTypeSync"/>
  </ds:schemaRefs>
</ds:datastoreItem>
</file>

<file path=customXml/itemProps5.xml><?xml version="1.0" encoding="utf-8"?>
<ds:datastoreItem xmlns:ds="http://schemas.openxmlformats.org/officeDocument/2006/customXml" ds:itemID="{259F7E11-FCE8-49A8-A0C3-577D8F21D4D9}">
  <ds:schemaRefs>
    <ds:schemaRef ds:uri="http://schemas.microsoft.com/sharepoint/v3/contenttype/forms"/>
  </ds:schemaRefs>
</ds:datastoreItem>
</file>

<file path=customXml/itemProps6.xml><?xml version="1.0" encoding="utf-8"?>
<ds:datastoreItem xmlns:ds="http://schemas.openxmlformats.org/officeDocument/2006/customXml" ds:itemID="{F522396C-799E-4C0C-B298-4186DEF05897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dcmitype/"/>
    <ds:schemaRef ds:uri="4b8c1279-6de2-4c61-952d-20035ff38c00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5e0d4d52-fb8a-4e05-969a-5faf0489c961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Benchmark_PDT_PTA_v1.ps1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DUPONT Brice</dc:creator>
  <cp:keywords/>
  <dc:description/>
  <cp:lastModifiedBy>DUPONT Brice</cp:lastModifiedBy>
  <cp:revision/>
  <dcterms:created xsi:type="dcterms:W3CDTF">2026-02-05T14:07:30Z</dcterms:created>
  <dcterms:modified xsi:type="dcterms:W3CDTF">2026-02-10T08:02:03Z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vdocid">
    <vt:lpwstr>1275f762-9f13-4f20-818e-fa42679a2110</vt:lpwstr>
  </property>
  <property fmtid="{D5CDD505-2E9C-101B-9397-08002B2CF9AE}" pid="3" name="ClassificationTagSetId">
    <vt:lpwstr>e16409a7-1700-4153-9090-3955bc2f0ae8</vt:lpwstr>
  </property>
  <property fmtid="{D5CDD505-2E9C-101B-9397-08002B2CF9AE}" pid="4" name="ComplianceTagSetId">
    <vt:lpwstr>f14fc1f1-8950-40d5-8a29-45909da947d6</vt:lpwstr>
  </property>
  <property fmtid="{D5CDD505-2E9C-101B-9397-08002B2CF9AE}" pid="5" name="DistributionTagSetId">
    <vt:lpwstr>004dea33-8751-4399-a76e-95f371cb4119</vt:lpwstr>
  </property>
  <property fmtid="{D5CDD505-2E9C-101B-9397-08002B2CF9AE}" pid="6" name="FileId">
    <vt:lpwstr>1275f762-9f13-4f20-818e-fa42679a2110</vt:lpwstr>
  </property>
  <property fmtid="{D5CDD505-2E9C-101B-9397-08002B2CF9AE}" pid="7" name="UserId">
    <vt:lpwstr>DUPONT Brice</vt:lpwstr>
  </property>
  <property fmtid="{D5CDD505-2E9C-101B-9397-08002B2CF9AE}" pid="8" name="TagDateTime">
    <vt:lpwstr>2026-02-05T14:12:02Z</vt:lpwstr>
  </property>
  <property fmtid="{D5CDD505-2E9C-101B-9397-08002B2CF9AE}" pid="9" name="GVData">
    <vt:lpwstr>eyJPUyI6IldpbmRvd3MiLCJkb2NJRCI6IjEyNzVmNzYyLTlmMTMtNGYyMC04MThlLWZhNDI2NzlhMjExMCIsImRvY1N0YXRlIjoie30iLCJwYXJlbnRMaW5lSWRzIjoiW1wiMGU4OWE4N2MtODQ4Ny00NDNmLWI0ODctMjJlMzQ5ZGVkMTE4XCIsXCJjMGUwNjEyOS03</vt:lpwstr>
  </property>
  <property fmtid="{D5CDD505-2E9C-101B-9397-08002B2CF9AE}" pid="10" name="GVData0">
    <vt:lpwstr>MjRjLTQ3MGQtOTIxYi0yOWM2MDQzNTczN2FcIl0iLCJ3cml0dGVuS2V5cyI6IltcIkNsYXNzaWZpY2F0aW9uXCIsXCJDbGFzc2lmaWNhdGlvblRhZ1NldElkXCIsXCJDb21wbGlhbmNlVGFnU2V0SWRcIixcIkRpc3RyaWJ1dGlvblwiLFwiRGlzdHJpYnV0aW9uVGFn</vt:lpwstr>
  </property>
  <property fmtid="{D5CDD505-2E9C-101B-9397-08002B2CF9AE}" pid="11" name="GVData1">
    <vt:lpwstr>U2V0SWRcIixcIkZpbGVJZFwiLFwiZ3Zkb2NpZFwiLFwiVGFnRGF0ZVRpbWVcIixcIlVzZXJJZFwiXSIsIm5vT2ZHdkRhdGFFbnRyaWVzIjoiNCIsImxpbmVJZCI6IjIzY2ViMTNlLTFhNzgtNDMxMS1hOGMxLTg5MzE3MzNhMjlhZSIsInRhZ3NldF9lMTY0MDlhN18x</vt:lpwstr>
  </property>
  <property fmtid="{D5CDD505-2E9C-101B-9397-08002B2CF9AE}" pid="12" name="GVData2">
    <vt:lpwstr>NzAwXzQxNTNfOTA5MF8zOTU1YmMyZjBhZThfY2xhc3NpZmljYXRpb24iOiJQdWJsaWMiLCJ0YWdzZXRfMDA0ZGVhMzNfODc1MV80Mzk5X2E3NmVfOTVmMzcxY2I0MTE5X2Rpc3RyaWJ1dGlvbiI6IkNBLVRJVFJFUyJ9</vt:lpwstr>
  </property>
  <property fmtid="{D5CDD505-2E9C-101B-9397-08002B2CF9AE}" pid="13" name="Classification">
    <vt:lpwstr>Public</vt:lpwstr>
  </property>
  <property fmtid="{D5CDD505-2E9C-101B-9397-08002B2CF9AE}" pid="14" name="Distribution">
    <vt:lpwstr>CA-TITRES</vt:lpwstr>
  </property>
  <property fmtid="{D5CDD505-2E9C-101B-9397-08002B2CF9AE}" pid="15" name="GVData3">
    <vt:lpwstr>(end)</vt:lpwstr>
  </property>
  <property fmtid="{D5CDD505-2E9C-101B-9397-08002B2CF9AE}" pid="16" name="ContentTypeId">
    <vt:lpwstr>0x0101002B5F2CB5F3BBD3469ABDFF5A5589FABD0039AB7090E895014A9D5587957A04E78F</vt:lpwstr>
  </property>
  <property fmtid="{D5CDD505-2E9C-101B-9397-08002B2CF9AE}" pid="17" name="Type de document">
    <vt:lpwstr/>
  </property>
</Properties>
</file>